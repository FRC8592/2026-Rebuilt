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jalt\Desktop\"/>
    </mc:Choice>
  </mc:AlternateContent>
  <xr:revisionPtr revIDLastSave="0" documentId="13_ncr:1_{8253A4B0-C0B0-4156-BE9E-89E6AC79B05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Curve f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C5" i="2" s="1"/>
  <c r="B27" i="1"/>
  <c r="G5" i="1"/>
  <c r="G4" i="1"/>
  <c r="H4" i="1" s="1"/>
  <c r="H3" i="1"/>
  <c r="G40" i="1"/>
  <c r="G39" i="1"/>
  <c r="B14" i="1"/>
  <c r="B16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D5" i="2" l="1"/>
  <c r="A6" i="2"/>
  <c r="D6" i="2" s="1"/>
  <c r="A40" i="1"/>
  <c r="D39" i="1"/>
  <c r="D38" i="1"/>
  <c r="D37" i="1"/>
  <c r="D33" i="1"/>
  <c r="D32" i="1"/>
  <c r="D31" i="1"/>
  <c r="D30" i="1"/>
  <c r="D29" i="1"/>
  <c r="D28" i="1"/>
  <c r="D27" i="1"/>
  <c r="D36" i="1"/>
  <c r="D35" i="1"/>
  <c r="D34" i="1"/>
  <c r="B15" i="1"/>
  <c r="A7" i="2" l="1"/>
  <c r="D7" i="2" s="1"/>
  <c r="C6" i="2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A41" i="1"/>
  <c r="C41" i="1" s="1"/>
  <c r="D40" i="1"/>
  <c r="A8" i="2" l="1"/>
  <c r="D8" i="2" s="1"/>
  <c r="C7" i="2"/>
  <c r="A42" i="1"/>
  <c r="C42" i="1" s="1"/>
  <c r="D41" i="1"/>
  <c r="A9" i="2" l="1"/>
  <c r="D9" i="2" s="1"/>
  <c r="C8" i="2"/>
  <c r="D42" i="1"/>
  <c r="A43" i="1"/>
  <c r="C43" i="1" s="1"/>
  <c r="A10" i="2" l="1"/>
  <c r="D10" i="2" s="1"/>
  <c r="C9" i="2"/>
  <c r="A44" i="1"/>
  <c r="C44" i="1" s="1"/>
  <c r="D43" i="1"/>
  <c r="A11" i="2" l="1"/>
  <c r="D11" i="2" s="1"/>
  <c r="C10" i="2"/>
  <c r="A45" i="1"/>
  <c r="C45" i="1" s="1"/>
  <c r="D44" i="1"/>
  <c r="A12" i="2" l="1"/>
  <c r="D12" i="2" s="1"/>
  <c r="C11" i="2"/>
  <c r="A46" i="1"/>
  <c r="C46" i="1" s="1"/>
  <c r="D45" i="1"/>
  <c r="A13" i="2" l="1"/>
  <c r="D13" i="2" s="1"/>
  <c r="C12" i="2"/>
  <c r="A47" i="1"/>
  <c r="C47" i="1" s="1"/>
  <c r="D46" i="1"/>
  <c r="A14" i="2" l="1"/>
  <c r="D14" i="2" s="1"/>
  <c r="C13" i="2"/>
  <c r="A48" i="1"/>
  <c r="C48" i="1" s="1"/>
  <c r="D47" i="1"/>
  <c r="A15" i="2" l="1"/>
  <c r="D15" i="2" s="1"/>
  <c r="C14" i="2"/>
  <c r="A49" i="1"/>
  <c r="C49" i="1" s="1"/>
  <c r="D48" i="1"/>
  <c r="A16" i="2" l="1"/>
  <c r="D16" i="2" s="1"/>
  <c r="C15" i="2"/>
  <c r="A50" i="1"/>
  <c r="C50" i="1" s="1"/>
  <c r="D49" i="1"/>
  <c r="A17" i="2" l="1"/>
  <c r="D17" i="2" s="1"/>
  <c r="C16" i="2"/>
  <c r="A51" i="1"/>
  <c r="C51" i="1" s="1"/>
  <c r="D50" i="1"/>
  <c r="A18" i="2" l="1"/>
  <c r="D18" i="2" s="1"/>
  <c r="C17" i="2"/>
  <c r="A52" i="1"/>
  <c r="D51" i="1"/>
  <c r="A19" i="2" l="1"/>
  <c r="D19" i="2" s="1"/>
  <c r="C18" i="2"/>
  <c r="A53" i="1"/>
  <c r="C53" i="1" s="1"/>
  <c r="C52" i="1"/>
  <c r="A54" i="1"/>
  <c r="C54" i="1" s="1"/>
  <c r="D53" i="1"/>
  <c r="D52" i="1"/>
  <c r="A20" i="2" l="1"/>
  <c r="D20" i="2" s="1"/>
  <c r="C19" i="2"/>
  <c r="A55" i="1"/>
  <c r="C55" i="1" s="1"/>
  <c r="D54" i="1"/>
  <c r="A21" i="2" l="1"/>
  <c r="D21" i="2" s="1"/>
  <c r="C20" i="2"/>
  <c r="A56" i="1"/>
  <c r="C56" i="1" s="1"/>
  <c r="D55" i="1"/>
  <c r="A22" i="2" l="1"/>
  <c r="D22" i="2" s="1"/>
  <c r="C21" i="2"/>
  <c r="D56" i="1"/>
  <c r="A57" i="1"/>
  <c r="C57" i="1" s="1"/>
  <c r="A23" i="2" l="1"/>
  <c r="D23" i="2" s="1"/>
  <c r="C22" i="2"/>
  <c r="D57" i="1"/>
  <c r="A24" i="2" l="1"/>
  <c r="D24" i="2" s="1"/>
  <c r="C23" i="2"/>
  <c r="A25" i="2" l="1"/>
  <c r="D25" i="2" s="1"/>
  <c r="C24" i="2"/>
  <c r="A26" i="2" l="1"/>
  <c r="D26" i="2" s="1"/>
  <c r="C25" i="2"/>
  <c r="A27" i="2" l="1"/>
  <c r="D27" i="2" s="1"/>
  <c r="C26" i="2"/>
  <c r="D1" i="2" s="1"/>
  <c r="A28" i="2" l="1"/>
  <c r="D28" i="2" s="1"/>
  <c r="C27" i="2"/>
  <c r="A29" i="2" l="1"/>
  <c r="D29" i="2" s="1"/>
  <c r="C28" i="2"/>
  <c r="A30" i="2" l="1"/>
  <c r="D30" i="2" s="1"/>
  <c r="C29" i="2"/>
  <c r="A31" i="2" l="1"/>
  <c r="D31" i="2" s="1"/>
  <c r="C30" i="2"/>
  <c r="A32" i="2" l="1"/>
  <c r="D32" i="2" s="1"/>
  <c r="C31" i="2"/>
  <c r="A33" i="2" l="1"/>
  <c r="D33" i="2" s="1"/>
  <c r="C32" i="2"/>
  <c r="A34" i="2" l="1"/>
  <c r="D34" i="2" s="1"/>
  <c r="C33" i="2"/>
  <c r="A35" i="2" l="1"/>
  <c r="D35" i="2" s="1"/>
  <c r="C34" i="2"/>
  <c r="A36" i="2" l="1"/>
  <c r="D36" i="2" s="1"/>
  <c r="C35" i="2"/>
  <c r="A37" i="2" l="1"/>
  <c r="D37" i="2" s="1"/>
  <c r="C36" i="2"/>
  <c r="A38" i="2" l="1"/>
  <c r="D38" i="2" s="1"/>
  <c r="C37" i="2"/>
  <c r="A39" i="2" l="1"/>
  <c r="D39" i="2" s="1"/>
  <c r="C38" i="2"/>
  <c r="A40" i="2" l="1"/>
  <c r="D40" i="2" s="1"/>
  <c r="C39" i="2"/>
  <c r="A41" i="2" l="1"/>
  <c r="D41" i="2" s="1"/>
  <c r="C40" i="2"/>
  <c r="A42" i="2" l="1"/>
  <c r="D42" i="2" s="1"/>
  <c r="C41" i="2"/>
  <c r="A43" i="2" l="1"/>
  <c r="D43" i="2" s="1"/>
  <c r="C42" i="2"/>
  <c r="A44" i="2" l="1"/>
  <c r="D44" i="2" s="1"/>
  <c r="C43" i="2"/>
  <c r="A45" i="2" l="1"/>
  <c r="D45" i="2" s="1"/>
  <c r="C44" i="2"/>
  <c r="A46" i="2" l="1"/>
  <c r="D46" i="2" s="1"/>
  <c r="C45" i="2"/>
  <c r="A47" i="2" l="1"/>
  <c r="D47" i="2" s="1"/>
  <c r="C46" i="2"/>
  <c r="A48" i="2" l="1"/>
  <c r="D48" i="2" s="1"/>
  <c r="C47" i="2"/>
  <c r="A49" i="2" l="1"/>
  <c r="D49" i="2" s="1"/>
  <c r="C48" i="2"/>
  <c r="A50" i="2" l="1"/>
  <c r="D50" i="2" s="1"/>
  <c r="C49" i="2"/>
  <c r="A51" i="2" l="1"/>
  <c r="D51" i="2" s="1"/>
  <c r="C50" i="2"/>
  <c r="A52" i="2" l="1"/>
  <c r="D52" i="2" s="1"/>
  <c r="C51" i="2"/>
  <c r="A53" i="2" l="1"/>
  <c r="D53" i="2" s="1"/>
  <c r="C52" i="2"/>
  <c r="A54" i="2" l="1"/>
  <c r="D54" i="2" s="1"/>
  <c r="C53" i="2"/>
  <c r="C54" i="2" l="1"/>
  <c r="A55" i="2"/>
  <c r="C55" i="2" l="1"/>
  <c r="D55" i="2"/>
  <c r="E1" i="2" s="1"/>
</calcChain>
</file>

<file path=xl/sharedStrings.xml><?xml version="1.0" encoding="utf-8"?>
<sst xmlns="http://schemas.openxmlformats.org/spreadsheetml/2006/main" count="44" uniqueCount="37">
  <si>
    <t>m</t>
  </si>
  <si>
    <t>Velocity</t>
  </si>
  <si>
    <t>m/s</t>
  </si>
  <si>
    <t>Shooter Angle</t>
  </si>
  <si>
    <t>Degrees</t>
  </si>
  <si>
    <t>Inches</t>
  </si>
  <si>
    <t>RPM</t>
  </si>
  <si>
    <t>Vx</t>
  </si>
  <si>
    <t>Vy</t>
  </si>
  <si>
    <t>Flywheel Diameter</t>
  </si>
  <si>
    <t>g</t>
  </si>
  <si>
    <t>m/s^2</t>
  </si>
  <si>
    <t>X</t>
  </si>
  <si>
    <t>Y</t>
  </si>
  <si>
    <t>Hub</t>
  </si>
  <si>
    <t>Target 1</t>
  </si>
  <si>
    <t>Target 2</t>
  </si>
  <si>
    <t>Target 3</t>
  </si>
  <si>
    <t>Target 4</t>
  </si>
  <si>
    <t>Target</t>
  </si>
  <si>
    <t>Robot</t>
  </si>
  <si>
    <t>Position</t>
  </si>
  <si>
    <t>Shooter h</t>
  </si>
  <si>
    <t>Hub h</t>
  </si>
  <si>
    <t>Flywheel v</t>
  </si>
  <si>
    <t>t</t>
  </si>
  <si>
    <t>Dx</t>
  </si>
  <si>
    <t>Dy</t>
  </si>
  <si>
    <t>Fuel Projectile</t>
  </si>
  <si>
    <t>Start</t>
  </si>
  <si>
    <t>End</t>
  </si>
  <si>
    <t>Distance</t>
  </si>
  <si>
    <t>d</t>
  </si>
  <si>
    <t>Empirical</t>
  </si>
  <si>
    <t>Curve</t>
  </si>
  <si>
    <t>Expo</t>
  </si>
  <si>
    <t>Short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</si>
</sst>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</c:f>
              <c:numCache>
                <c:formatCode>General</c:formatCode>
                <c:ptCount val="1"/>
                <c:pt idx="0">
                  <c:v>4.66</c:v>
                </c:pt>
              </c:numCache>
            </c:numRef>
          </c:xVal>
          <c:yVal>
            <c:numRef>
              <c:f>Sheet1!$G$3</c:f>
              <c:numCache>
                <c:formatCode>General</c:formatCode>
                <c:ptCount val="1"/>
                <c:pt idx="0">
                  <c:v>4.04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C-42B6-B63E-8266C986BB4F}"/>
            </c:ext>
          </c:extLst>
        </c:ser>
        <c:ser>
          <c:idx val="1"/>
          <c:order val="1"/>
          <c:tx>
            <c:v>Robot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</c:f>
              <c:numCache>
                <c:formatCode>General</c:formatCode>
                <c:ptCount val="1"/>
                <c:pt idx="0">
                  <c:v>0.5</c:v>
                </c:pt>
              </c:numCache>
            </c:numRef>
          </c:xVal>
          <c:yVal>
            <c:numRef>
              <c:f>Sheet1!$C$3</c:f>
              <c:numCache>
                <c:formatCode>General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C-42B6-B63E-8266C986BB4F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Target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Sheet1!$F$4</c:f>
              <c:numCache>
                <c:formatCode>General</c:formatCode>
                <c:ptCount val="1"/>
                <c:pt idx="0">
                  <c:v>4.66</c:v>
                </c:pt>
              </c:numCache>
            </c:numRef>
          </c:xVal>
          <c:yVal>
            <c:numRef>
              <c:f>Sheet1!$G$4</c:f>
              <c:numCache>
                <c:formatCode>General</c:formatCode>
                <c:ptCount val="1"/>
                <c:pt idx="0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1-45AD-91A9-5848D77BB4D5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Target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Sheet1!$F$5</c:f>
              <c:numCache>
                <c:formatCode>General</c:formatCode>
                <c:ptCount val="1"/>
                <c:pt idx="0">
                  <c:v>4.66</c:v>
                </c:pt>
              </c:numCache>
            </c:numRef>
          </c:xVal>
          <c:yVal>
            <c:numRef>
              <c:f>Sheet1!$G$5</c:f>
              <c:numCache>
                <c:formatCode>General</c:formatCode>
                <c:ptCount val="1"/>
                <c:pt idx="0">
                  <c:v>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1-45AD-91A9-5848D77BB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02672"/>
        <c:axId val="600403152"/>
      </c:scatterChart>
      <c:valAx>
        <c:axId val="60040267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03152"/>
        <c:crosses val="autoZero"/>
        <c:crossBetween val="midCat"/>
      </c:valAx>
      <c:valAx>
        <c:axId val="600403152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0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826334208223973E-2"/>
          <c:y val="7.5213685337328931E-2"/>
          <c:w val="0.9223958880139983"/>
          <c:h val="0.8392388908054231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Sheet1!$A$25</c:f>
              <c:strCache>
                <c:ptCount val="1"/>
                <c:pt idx="0">
                  <c:v>Fuel Projectile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Sheet1!$C$27:$C$57</c:f>
              <c:numCache>
                <c:formatCode>General</c:formatCode>
                <c:ptCount val="31"/>
                <c:pt idx="0">
                  <c:v>0.36777447004470609</c:v>
                </c:pt>
                <c:pt idx="1">
                  <c:v>0.55480510986224907</c:v>
                </c:pt>
                <c:pt idx="2">
                  <c:v>0.74183574967979204</c:v>
                </c:pt>
                <c:pt idx="3">
                  <c:v>0.92886638949733513</c:v>
                </c:pt>
                <c:pt idx="4">
                  <c:v>1.115897029314878</c:v>
                </c:pt>
                <c:pt idx="5">
                  <c:v>1.302927669132421</c:v>
                </c:pt>
                <c:pt idx="6">
                  <c:v>1.4899583089499639</c:v>
                </c:pt>
                <c:pt idx="7">
                  <c:v>1.6769889487675069</c:v>
                </c:pt>
                <c:pt idx="8">
                  <c:v>1.8640195885850499</c:v>
                </c:pt>
                <c:pt idx="9">
                  <c:v>2.0510502284025929</c:v>
                </c:pt>
                <c:pt idx="10">
                  <c:v>2.2380808682201359</c:v>
                </c:pt>
                <c:pt idx="11">
                  <c:v>2.4251115080376788</c:v>
                </c:pt>
                <c:pt idx="12">
                  <c:v>2.6121421478552218</c:v>
                </c:pt>
                <c:pt idx="13">
                  <c:v>2.7991727876727652</c:v>
                </c:pt>
                <c:pt idx="14">
                  <c:v>2.9862034274903082</c:v>
                </c:pt>
                <c:pt idx="15">
                  <c:v>3.1732340673078516</c:v>
                </c:pt>
                <c:pt idx="16">
                  <c:v>3.3602647071253946</c:v>
                </c:pt>
                <c:pt idx="17">
                  <c:v>3.547295346942938</c:v>
                </c:pt>
                <c:pt idx="18">
                  <c:v>3.734325986760481</c:v>
                </c:pt>
                <c:pt idx="19">
                  <c:v>3.921356626578024</c:v>
                </c:pt>
                <c:pt idx="20">
                  <c:v>4.1083872663955674</c:v>
                </c:pt>
                <c:pt idx="21">
                  <c:v>4.2954179062131104</c:v>
                </c:pt>
                <c:pt idx="22">
                  <c:v>4.4824485460306533</c:v>
                </c:pt>
                <c:pt idx="23">
                  <c:v>4.6694791858481963</c:v>
                </c:pt>
                <c:pt idx="24">
                  <c:v>4.8565098256657393</c:v>
                </c:pt>
                <c:pt idx="25">
                  <c:v>5.0435404654832823</c:v>
                </c:pt>
                <c:pt idx="26">
                  <c:v>5.2305711053008261</c:v>
                </c:pt>
                <c:pt idx="27">
                  <c:v>5.4176017451183691</c:v>
                </c:pt>
                <c:pt idx="28">
                  <c:v>5.6046323849359121</c:v>
                </c:pt>
                <c:pt idx="29">
                  <c:v>5.7916630247534551</c:v>
                </c:pt>
                <c:pt idx="30">
                  <c:v>5.9786936645709989</c:v>
                </c:pt>
              </c:numCache>
            </c:numRef>
          </c:xVal>
          <c:yVal>
            <c:numRef>
              <c:f>Sheet1!$D$27:$D$57</c:f>
              <c:numCache>
                <c:formatCode>General</c:formatCode>
                <c:ptCount val="31"/>
                <c:pt idx="0">
                  <c:v>0.76</c:v>
                </c:pt>
                <c:pt idx="1">
                  <c:v>1.0851622059298167</c:v>
                </c:pt>
                <c:pt idx="2">
                  <c:v>1.385824411859633</c:v>
                </c:pt>
                <c:pt idx="3">
                  <c:v>1.6619866177894496</c:v>
                </c:pt>
                <c:pt idx="4">
                  <c:v>1.9136488237192661</c:v>
                </c:pt>
                <c:pt idx="5">
                  <c:v>2.1408110296490825</c:v>
                </c:pt>
                <c:pt idx="6">
                  <c:v>2.343473235578899</c:v>
                </c:pt>
                <c:pt idx="7">
                  <c:v>2.5216354415087157</c:v>
                </c:pt>
                <c:pt idx="8">
                  <c:v>2.6752976474385326</c:v>
                </c:pt>
                <c:pt idx="9">
                  <c:v>2.8044598533683489</c:v>
                </c:pt>
                <c:pt idx="10">
                  <c:v>2.9091220592981646</c:v>
                </c:pt>
                <c:pt idx="11">
                  <c:v>2.9892842652279814</c:v>
                </c:pt>
                <c:pt idx="12">
                  <c:v>3.0449464711577976</c:v>
                </c:pt>
                <c:pt idx="13">
                  <c:v>3.0761086770876149</c:v>
                </c:pt>
                <c:pt idx="14">
                  <c:v>3.0827708830174307</c:v>
                </c:pt>
                <c:pt idx="15">
                  <c:v>3.0649330889472468</c:v>
                </c:pt>
                <c:pt idx="16">
                  <c:v>3.022595294877064</c:v>
                </c:pt>
                <c:pt idx="17">
                  <c:v>2.9557575008068797</c:v>
                </c:pt>
                <c:pt idx="18">
                  <c:v>2.8644197067366965</c:v>
                </c:pt>
                <c:pt idx="19">
                  <c:v>2.7485819126665127</c:v>
                </c:pt>
                <c:pt idx="20">
                  <c:v>2.6082441185963301</c:v>
                </c:pt>
                <c:pt idx="21">
                  <c:v>2.4434063245261459</c:v>
                </c:pt>
                <c:pt idx="22">
                  <c:v>2.254068530455962</c:v>
                </c:pt>
                <c:pt idx="23">
                  <c:v>2.0402307363857775</c:v>
                </c:pt>
                <c:pt idx="24">
                  <c:v>1.8018929423155943</c:v>
                </c:pt>
                <c:pt idx="25">
                  <c:v>1.5390551482454093</c:v>
                </c:pt>
                <c:pt idx="26">
                  <c:v>1.2517173541752256</c:v>
                </c:pt>
                <c:pt idx="27">
                  <c:v>0.93987956010504115</c:v>
                </c:pt>
                <c:pt idx="28">
                  <c:v>0.60354176603485876</c:v>
                </c:pt>
                <c:pt idx="29">
                  <c:v>0.24270397196467486</c:v>
                </c:pt>
                <c:pt idx="30">
                  <c:v>-0.14263382210550879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23-4FBF-A0E2-C6E8A8DAD7D9}"/>
            </c:ext>
          </c:extLst>
        </c:ser>
        <c:ser>
          <c:idx val="1"/>
          <c:order val="1"/>
          <c:tx>
            <c:strRef>
              <c:f>Sheet1!$F$38</c:f>
              <c:strCache>
                <c:ptCount val="1"/>
                <c:pt idx="0">
                  <c:v>Hub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Sheet1!$G$39:$G$40</c:f>
              <c:numCache>
                <c:formatCode>0.00</c:formatCode>
                <c:ptCount val="2"/>
                <c:pt idx="0">
                  <c:v>4.16</c:v>
                </c:pt>
                <c:pt idx="1">
                  <c:v>5.16</c:v>
                </c:pt>
              </c:numCache>
            </c:numRef>
          </c:xVal>
          <c:yVal>
            <c:numRef>
              <c:f>Sheet1!$H$39:$H$40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23-4FBF-A0E2-C6E8A8DAD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44720"/>
        <c:axId val="2108141840"/>
      </c:scatterChart>
      <c:valAx>
        <c:axId val="2108144720"/>
        <c:scaling>
          <c:orientation val="minMax"/>
          <c:max val="7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41840"/>
        <c:crosses val="autoZero"/>
        <c:crossBetween val="midCat"/>
      </c:valAx>
      <c:valAx>
        <c:axId val="210814184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Sheet1!$C$27:$C$57</c:f>
              <c:numCache>
                <c:formatCode>General</c:formatCode>
                <c:ptCount val="31"/>
                <c:pt idx="0">
                  <c:v>0.36777447004470609</c:v>
                </c:pt>
                <c:pt idx="1">
                  <c:v>0.55480510986224907</c:v>
                </c:pt>
                <c:pt idx="2">
                  <c:v>0.74183574967979204</c:v>
                </c:pt>
                <c:pt idx="3">
                  <c:v>0.92886638949733513</c:v>
                </c:pt>
                <c:pt idx="4">
                  <c:v>1.115897029314878</c:v>
                </c:pt>
                <c:pt idx="5">
                  <c:v>1.302927669132421</c:v>
                </c:pt>
                <c:pt idx="6">
                  <c:v>1.4899583089499639</c:v>
                </c:pt>
                <c:pt idx="7">
                  <c:v>1.6769889487675069</c:v>
                </c:pt>
                <c:pt idx="8">
                  <c:v>1.8640195885850499</c:v>
                </c:pt>
                <c:pt idx="9">
                  <c:v>2.0510502284025929</c:v>
                </c:pt>
                <c:pt idx="10">
                  <c:v>2.2380808682201359</c:v>
                </c:pt>
                <c:pt idx="11">
                  <c:v>2.4251115080376788</c:v>
                </c:pt>
                <c:pt idx="12">
                  <c:v>2.6121421478552218</c:v>
                </c:pt>
                <c:pt idx="13">
                  <c:v>2.7991727876727652</c:v>
                </c:pt>
                <c:pt idx="14">
                  <c:v>2.9862034274903082</c:v>
                </c:pt>
                <c:pt idx="15">
                  <c:v>3.1732340673078516</c:v>
                </c:pt>
                <c:pt idx="16">
                  <c:v>3.3602647071253946</c:v>
                </c:pt>
                <c:pt idx="17">
                  <c:v>3.547295346942938</c:v>
                </c:pt>
                <c:pt idx="18">
                  <c:v>3.734325986760481</c:v>
                </c:pt>
                <c:pt idx="19">
                  <c:v>3.921356626578024</c:v>
                </c:pt>
                <c:pt idx="20">
                  <c:v>4.1083872663955674</c:v>
                </c:pt>
                <c:pt idx="21">
                  <c:v>4.2954179062131104</c:v>
                </c:pt>
                <c:pt idx="22">
                  <c:v>4.4824485460306533</c:v>
                </c:pt>
                <c:pt idx="23">
                  <c:v>4.6694791858481963</c:v>
                </c:pt>
                <c:pt idx="24">
                  <c:v>4.8565098256657393</c:v>
                </c:pt>
                <c:pt idx="25">
                  <c:v>5.0435404654832823</c:v>
                </c:pt>
                <c:pt idx="26">
                  <c:v>5.2305711053008261</c:v>
                </c:pt>
                <c:pt idx="27">
                  <c:v>5.4176017451183691</c:v>
                </c:pt>
                <c:pt idx="28">
                  <c:v>5.6046323849359121</c:v>
                </c:pt>
                <c:pt idx="29">
                  <c:v>5.7916630247534551</c:v>
                </c:pt>
                <c:pt idx="30">
                  <c:v>5.9786936645709989</c:v>
                </c:pt>
              </c:numCache>
            </c:numRef>
          </c:xVal>
          <c:yVal>
            <c:numRef>
              <c:f>Sheet1!$D$27:$D$57</c:f>
              <c:numCache>
                <c:formatCode>General</c:formatCode>
                <c:ptCount val="31"/>
                <c:pt idx="0">
                  <c:v>0.76</c:v>
                </c:pt>
                <c:pt idx="1">
                  <c:v>1.0851622059298167</c:v>
                </c:pt>
                <c:pt idx="2">
                  <c:v>1.385824411859633</c:v>
                </c:pt>
                <c:pt idx="3">
                  <c:v>1.6619866177894496</c:v>
                </c:pt>
                <c:pt idx="4">
                  <c:v>1.9136488237192661</c:v>
                </c:pt>
                <c:pt idx="5">
                  <c:v>2.1408110296490825</c:v>
                </c:pt>
                <c:pt idx="6">
                  <c:v>2.343473235578899</c:v>
                </c:pt>
                <c:pt idx="7">
                  <c:v>2.5216354415087157</c:v>
                </c:pt>
                <c:pt idx="8">
                  <c:v>2.6752976474385326</c:v>
                </c:pt>
                <c:pt idx="9">
                  <c:v>2.8044598533683489</c:v>
                </c:pt>
                <c:pt idx="10">
                  <c:v>2.9091220592981646</c:v>
                </c:pt>
                <c:pt idx="11">
                  <c:v>2.9892842652279814</c:v>
                </c:pt>
                <c:pt idx="12">
                  <c:v>3.0449464711577976</c:v>
                </c:pt>
                <c:pt idx="13">
                  <c:v>3.0761086770876149</c:v>
                </c:pt>
                <c:pt idx="14">
                  <c:v>3.0827708830174307</c:v>
                </c:pt>
                <c:pt idx="15">
                  <c:v>3.0649330889472468</c:v>
                </c:pt>
                <c:pt idx="16">
                  <c:v>3.022595294877064</c:v>
                </c:pt>
                <c:pt idx="17">
                  <c:v>2.9557575008068797</c:v>
                </c:pt>
                <c:pt idx="18">
                  <c:v>2.8644197067366965</c:v>
                </c:pt>
                <c:pt idx="19">
                  <c:v>2.7485819126665127</c:v>
                </c:pt>
                <c:pt idx="20">
                  <c:v>2.6082441185963301</c:v>
                </c:pt>
                <c:pt idx="21">
                  <c:v>2.4434063245261459</c:v>
                </c:pt>
                <c:pt idx="22">
                  <c:v>2.254068530455962</c:v>
                </c:pt>
                <c:pt idx="23">
                  <c:v>2.0402307363857775</c:v>
                </c:pt>
                <c:pt idx="24">
                  <c:v>1.8018929423155943</c:v>
                </c:pt>
                <c:pt idx="25">
                  <c:v>1.5390551482454093</c:v>
                </c:pt>
                <c:pt idx="26">
                  <c:v>1.2517173541752256</c:v>
                </c:pt>
                <c:pt idx="27">
                  <c:v>0.93987956010504115</c:v>
                </c:pt>
                <c:pt idx="28">
                  <c:v>0.60354176603485876</c:v>
                </c:pt>
                <c:pt idx="29">
                  <c:v>0.24270397196467486</c:v>
                </c:pt>
                <c:pt idx="30">
                  <c:v>-0.14263382210550879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E-4655-8FC4-832B028D2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106832"/>
        <c:axId val="219111632"/>
      </c:scatterChart>
      <c:valAx>
        <c:axId val="21910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1632"/>
        <c:crosses val="autoZero"/>
        <c:crossBetween val="midCat"/>
      </c:valAx>
      <c:valAx>
        <c:axId val="21911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'Curve fit'!$B$4</c:f>
              <c:strCache>
                <c:ptCount val="1"/>
                <c:pt idx="0">
                  <c:v>Empirical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fit'!$A$5:$A$55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'Curve fit'!$B$5:$B$55</c:f>
              <c:numCache>
                <c:formatCode>General</c:formatCode>
                <c:ptCount val="51"/>
                <c:pt idx="16">
                  <c:v>1250</c:v>
                </c:pt>
                <c:pt idx="18">
                  <c:v>1275</c:v>
                </c:pt>
                <c:pt idx="25">
                  <c:v>1425</c:v>
                </c:pt>
                <c:pt idx="30">
                  <c:v>1500</c:v>
                </c:pt>
                <c:pt idx="40">
                  <c:v>1625</c:v>
                </c:pt>
                <c:pt idx="50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B-49DE-B7CC-B6EB89468ED2}"/>
            </c:ext>
          </c:extLst>
        </c:ser>
        <c:ser>
          <c:idx val="1"/>
          <c:order val="1"/>
          <c:tx>
            <c:strRef>
              <c:f>'Curve fit'!$C$4</c:f>
              <c:strCache>
                <c:ptCount val="1"/>
                <c:pt idx="0">
                  <c:v>Curve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'Curve fit'!$A$5:$A$55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'Curve fit'!$C$5:$C$55</c:f>
              <c:numCache>
                <c:formatCode>General</c:formatCode>
                <c:ptCount val="51"/>
                <c:pt idx="0">
                  <c:v>1019.64733</c:v>
                </c:pt>
                <c:pt idx="1">
                  <c:v>1035.3295419999999</c:v>
                </c:pt>
                <c:pt idx="2">
                  <c:v>1051.0117540000001</c:v>
                </c:pt>
                <c:pt idx="3">
                  <c:v>1066.693966</c:v>
                </c:pt>
                <c:pt idx="4">
                  <c:v>1082.376178</c:v>
                </c:pt>
                <c:pt idx="5">
                  <c:v>1098.0583899999999</c:v>
                </c:pt>
                <c:pt idx="6">
                  <c:v>1113.7406020000001</c:v>
                </c:pt>
                <c:pt idx="7">
                  <c:v>1129.422814</c:v>
                </c:pt>
                <c:pt idx="8">
                  <c:v>1145.105026</c:v>
                </c:pt>
                <c:pt idx="9">
                  <c:v>1160.7872379999999</c:v>
                </c:pt>
                <c:pt idx="10">
                  <c:v>1176.4694500000001</c:v>
                </c:pt>
                <c:pt idx="11">
                  <c:v>1192.151662</c:v>
                </c:pt>
                <c:pt idx="12">
                  <c:v>1207.8338739999999</c:v>
                </c:pt>
                <c:pt idx="13">
                  <c:v>1223.5160860000001</c:v>
                </c:pt>
                <c:pt idx="14">
                  <c:v>1239.198298</c:v>
                </c:pt>
                <c:pt idx="15">
                  <c:v>1254.88051</c:v>
                </c:pt>
                <c:pt idx="16">
                  <c:v>1270.5627220000001</c:v>
                </c:pt>
                <c:pt idx="17">
                  <c:v>1286.2449340000001</c:v>
                </c:pt>
                <c:pt idx="18">
                  <c:v>1301.927146</c:v>
                </c:pt>
                <c:pt idx="19">
                  <c:v>1317.6093580000002</c:v>
                </c:pt>
                <c:pt idx="20">
                  <c:v>1333.2915700000001</c:v>
                </c:pt>
                <c:pt idx="21">
                  <c:v>1348.973782</c:v>
                </c:pt>
                <c:pt idx="22">
                  <c:v>1364.6559940000002</c:v>
                </c:pt>
                <c:pt idx="23">
                  <c:v>1380.3382060000001</c:v>
                </c:pt>
                <c:pt idx="24">
                  <c:v>1396.0204180000001</c:v>
                </c:pt>
                <c:pt idx="25">
                  <c:v>1411.7026300000002</c:v>
                </c:pt>
                <c:pt idx="26">
                  <c:v>1427.3848420000002</c:v>
                </c:pt>
                <c:pt idx="27">
                  <c:v>1443.0670540000001</c:v>
                </c:pt>
                <c:pt idx="28">
                  <c:v>1458.7492660000003</c:v>
                </c:pt>
                <c:pt idx="29">
                  <c:v>1474.4314780000002</c:v>
                </c:pt>
                <c:pt idx="30">
                  <c:v>1490.1136900000001</c:v>
                </c:pt>
                <c:pt idx="31">
                  <c:v>1505.7959020000003</c:v>
                </c:pt>
                <c:pt idx="32">
                  <c:v>1521.4781140000002</c:v>
                </c:pt>
                <c:pt idx="33">
                  <c:v>1537.1603260000002</c:v>
                </c:pt>
                <c:pt idx="34">
                  <c:v>1552.8425380000003</c:v>
                </c:pt>
                <c:pt idx="35">
                  <c:v>1568.5247500000005</c:v>
                </c:pt>
                <c:pt idx="36">
                  <c:v>1584.2069620000002</c:v>
                </c:pt>
                <c:pt idx="37">
                  <c:v>1599.8891740000004</c:v>
                </c:pt>
                <c:pt idx="38">
                  <c:v>1615.5713860000005</c:v>
                </c:pt>
                <c:pt idx="39">
                  <c:v>1631.2535980000002</c:v>
                </c:pt>
                <c:pt idx="40">
                  <c:v>1646.9358100000004</c:v>
                </c:pt>
                <c:pt idx="41">
                  <c:v>1662.6180220000003</c:v>
                </c:pt>
                <c:pt idx="42">
                  <c:v>1678.3002340000003</c:v>
                </c:pt>
                <c:pt idx="43">
                  <c:v>1693.9824460000002</c:v>
                </c:pt>
                <c:pt idx="44">
                  <c:v>1709.6646580000001</c:v>
                </c:pt>
                <c:pt idx="45">
                  <c:v>1725.3468700000001</c:v>
                </c:pt>
                <c:pt idx="46">
                  <c:v>1741.029082</c:v>
                </c:pt>
                <c:pt idx="47">
                  <c:v>1756.711294</c:v>
                </c:pt>
                <c:pt idx="48">
                  <c:v>1772.3935059999999</c:v>
                </c:pt>
                <c:pt idx="49">
                  <c:v>1788.0757179999998</c:v>
                </c:pt>
                <c:pt idx="50">
                  <c:v>1803.7579299999998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2B-49DE-B7CC-B6EB89468ED2}"/>
            </c:ext>
          </c:extLst>
        </c:ser>
        <c:ser>
          <c:idx val="2"/>
          <c:order val="2"/>
          <c:tx>
            <c:strRef>
              <c:f>'Curve fit'!$D$4</c:f>
              <c:strCache>
                <c:ptCount val="1"/>
                <c:pt idx="0">
                  <c:v>Expo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'Curve fit'!$A$5:$A$55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</c:numCache>
            </c:numRef>
          </c:xVal>
          <c:yVal>
            <c:numRef>
              <c:f>'Curve fit'!$D$5:$D$55</c:f>
              <c:numCache>
                <c:formatCode>General</c:formatCode>
                <c:ptCount val="51"/>
                <c:pt idx="0">
                  <c:v>1019.64733</c:v>
                </c:pt>
                <c:pt idx="1">
                  <c:v>1035.3295419999999</c:v>
                </c:pt>
                <c:pt idx="2">
                  <c:v>1051.0117540000001</c:v>
                </c:pt>
                <c:pt idx="3">
                  <c:v>1066.693966</c:v>
                </c:pt>
                <c:pt idx="4">
                  <c:v>1082.376178</c:v>
                </c:pt>
                <c:pt idx="5">
                  <c:v>1098.0583899999999</c:v>
                </c:pt>
                <c:pt idx="6">
                  <c:v>1113.7406020000001</c:v>
                </c:pt>
                <c:pt idx="7">
                  <c:v>1129.422814</c:v>
                </c:pt>
                <c:pt idx="8">
                  <c:v>1145.105026</c:v>
                </c:pt>
                <c:pt idx="9">
                  <c:v>1160.7872379999999</c:v>
                </c:pt>
                <c:pt idx="10">
                  <c:v>1176.4694500000001</c:v>
                </c:pt>
                <c:pt idx="11">
                  <c:v>1192.151662</c:v>
                </c:pt>
                <c:pt idx="12">
                  <c:v>1207.8338739999999</c:v>
                </c:pt>
                <c:pt idx="13">
                  <c:v>1223.5160860000001</c:v>
                </c:pt>
                <c:pt idx="14">
                  <c:v>1239.198298</c:v>
                </c:pt>
                <c:pt idx="15">
                  <c:v>1254.88051</c:v>
                </c:pt>
                <c:pt idx="16">
                  <c:v>1270.5627220000001</c:v>
                </c:pt>
                <c:pt idx="17">
                  <c:v>1286.2449340000001</c:v>
                </c:pt>
                <c:pt idx="18">
                  <c:v>1301.927146</c:v>
                </c:pt>
                <c:pt idx="19">
                  <c:v>1317.6093580000002</c:v>
                </c:pt>
                <c:pt idx="20">
                  <c:v>1333.2915700000001</c:v>
                </c:pt>
                <c:pt idx="21">
                  <c:v>1380.446310166443</c:v>
                </c:pt>
                <c:pt idx="22">
                  <c:v>1396.5460516397613</c:v>
                </c:pt>
                <c:pt idx="23">
                  <c:v>1412.6463851796566</c:v>
                </c:pt>
                <c:pt idx="24">
                  <c:v>1428.7473040806865</c:v>
                </c:pt>
                <c:pt idx="25">
                  <c:v>1444.8488017878419</c:v>
                </c:pt>
                <c:pt idx="26">
                  <c:v>1460.9508718915208</c:v>
                </c:pt>
                <c:pt idx="27">
                  <c:v>1477.0535081227472</c:v>
                </c:pt>
                <c:pt idx="28">
                  <c:v>1493.1567043485961</c:v>
                </c:pt>
                <c:pt idx="29">
                  <c:v>1509.2604545678021</c:v>
                </c:pt>
                <c:pt idx="30">
                  <c:v>1525.364752906562</c:v>
                </c:pt>
                <c:pt idx="31">
                  <c:v>1541.4695936145229</c:v>
                </c:pt>
                <c:pt idx="32">
                  <c:v>1557.5749710609196</c:v>
                </c:pt>
                <c:pt idx="33">
                  <c:v>1573.6808797308872</c:v>
                </c:pt>
                <c:pt idx="34">
                  <c:v>1589.7873142219144</c:v>
                </c:pt>
                <c:pt idx="35">
                  <c:v>1605.8942692404426</c:v>
                </c:pt>
                <c:pt idx="36">
                  <c:v>1622.0017395985969</c:v>
                </c:pt>
                <c:pt idx="37">
                  <c:v>1638.1097202110634</c:v>
                </c:pt>
                <c:pt idx="38">
                  <c:v>1654.2182060920634</c:v>
                </c:pt>
                <c:pt idx="39">
                  <c:v>1670.3271923524626</c:v>
                </c:pt>
                <c:pt idx="40">
                  <c:v>1686.4366741969898</c:v>
                </c:pt>
                <c:pt idx="41">
                  <c:v>1702.5466469215471</c:v>
                </c:pt>
                <c:pt idx="42">
                  <c:v>1718.6571059106495</c:v>
                </c:pt>
                <c:pt idx="43">
                  <c:v>1734.7680466349295</c:v>
                </c:pt>
                <c:pt idx="44">
                  <c:v>1750.8794646487522</c:v>
                </c:pt>
                <c:pt idx="45">
                  <c:v>1766.9913555879145</c:v>
                </c:pt>
                <c:pt idx="46">
                  <c:v>1783.1037151674273</c:v>
                </c:pt>
                <c:pt idx="47">
                  <c:v>1799.2165391793737</c:v>
                </c:pt>
                <c:pt idx="48">
                  <c:v>1815.3298234908514</c:v>
                </c:pt>
                <c:pt idx="49">
                  <c:v>1831.4435640419756</c:v>
                </c:pt>
                <c:pt idx="50">
                  <c:v>1847.5577568439758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2B-49DE-B7CC-B6EB8946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992623"/>
        <c:axId val="2090002223"/>
      </c:scatterChart>
      <c:valAx>
        <c:axId val="208999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02223"/>
        <c:crosses val="autoZero"/>
        <c:crossBetween val="midCat"/>
      </c:valAx>
      <c:valAx>
        <c:axId val="2090002223"/>
        <c:scaling>
          <c:orientation val="minMax"/>
          <c:max val="2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92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3809</xdr:rowOff>
    </xdr:from>
    <xdr:to>
      <xdr:col>21</xdr:col>
      <xdr:colOff>339436</xdr:colOff>
      <xdr:row>31</xdr:row>
      <xdr:rowOff>110835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DFB59-9301-A220-72CE-D326C3E1A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539634</xdr:colOff>
      <xdr:row>32</xdr:row>
      <xdr:rowOff>128501</xdr:rowOff>
    </xdr:from>
    <xdr:to>
      <xdr:col>15</xdr:col>
      <xdr:colOff>234834</xdr:colOff>
      <xdr:row>47</xdr:row>
      <xdr:rowOff>128501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822AF-D51B-FAE3-ABC2-8529820F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516081</xdr:colOff>
      <xdr:row>34</xdr:row>
      <xdr:rowOff>24246</xdr:rowOff>
    </xdr:from>
    <xdr:to>
      <xdr:col>23</xdr:col>
      <xdr:colOff>211281</xdr:colOff>
      <xdr:row>49</xdr:row>
      <xdr:rowOff>65810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00E25-ED2B-CE12-36A7-FD06BFC02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163830</xdr:rowOff>
    </xdr:from>
    <xdr:to>
      <xdr:col>19</xdr:col>
      <xdr:colOff>594360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127BE-BD74-83CD-58D5-D19FAA5F0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7"/>
  <sheetViews>
    <sheetView zoomScale="110" zoomScaleNormal="110" workbookViewId="0">
      <selection activeCell="F10" sqref="F10"/>
    </sheetView>
  </sheetViews>
  <sheetFormatPr defaultRowHeight="14.4" x14ac:dyDescent="0.3"/>
  <cols>
    <col min="1" max="1" width="16.21875" bestFit="1" customWidth="1"/>
    <col min="5" max="5" width="16.21875" bestFit="1" customWidth="1"/>
  </cols>
  <sheetData>
    <row r="2" spans="1:8" x14ac:dyDescent="0.3">
      <c r="A2" s="3" t="s">
        <v>20</v>
      </c>
      <c r="B2" s="3" t="s">
        <v>12</v>
      </c>
      <c r="C2" s="3" t="s">
        <v>13</v>
      </c>
      <c r="E2" s="3" t="s">
        <v>19</v>
      </c>
      <c r="F2" s="3" t="s">
        <v>12</v>
      </c>
      <c r="G2" s="3" t="s">
        <v>13</v>
      </c>
    </row>
    <row r="3" spans="1:8" x14ac:dyDescent="0.3">
      <c r="A3" s="4" t="s">
        <v>21</v>
      </c>
      <c r="B3" s="4">
        <v>0.5</v>
      </c>
      <c r="C3" s="4">
        <v>1.5</v>
      </c>
      <c r="E3" s="4" t="s">
        <v>14</v>
      </c>
      <c r="F3" s="4">
        <v>4.66</v>
      </c>
      <c r="G3" s="4">
        <v>4.04</v>
      </c>
      <c r="H3">
        <f>SQRT((F3-B3)^2+(G3-C3)^2)</f>
        <v>4.8741358208404497</v>
      </c>
    </row>
    <row r="4" spans="1:8" x14ac:dyDescent="0.3">
      <c r="A4" s="4" t="s">
        <v>1</v>
      </c>
      <c r="B4" s="4">
        <v>1.2</v>
      </c>
      <c r="C4" s="4">
        <v>0</v>
      </c>
      <c r="E4" s="4" t="s">
        <v>15</v>
      </c>
      <c r="F4" s="4">
        <v>4.66</v>
      </c>
      <c r="G4" s="4">
        <f>G3 - B4*1.25</f>
        <v>2.54</v>
      </c>
      <c r="H4">
        <f>SQRT((F4-B4)^2+(G4-C4)^2)</f>
        <v>4.292225529955294</v>
      </c>
    </row>
    <row r="5" spans="1:8" x14ac:dyDescent="0.3">
      <c r="E5" s="4" t="s">
        <v>16</v>
      </c>
      <c r="F5" s="4">
        <v>4.66</v>
      </c>
      <c r="G5" s="4">
        <f>G3-B4*1.15</f>
        <v>2.66</v>
      </c>
    </row>
    <row r="6" spans="1:8" x14ac:dyDescent="0.3">
      <c r="A6" s="4" t="s">
        <v>6</v>
      </c>
      <c r="B6" s="4">
        <v>1450</v>
      </c>
      <c r="E6" s="4" t="s">
        <v>17</v>
      </c>
      <c r="F6" s="4"/>
      <c r="G6" s="4"/>
    </row>
    <row r="7" spans="1:8" x14ac:dyDescent="0.3">
      <c r="E7" s="4" t="s">
        <v>18</v>
      </c>
      <c r="F7" s="4"/>
      <c r="G7" s="4"/>
    </row>
    <row r="10" spans="1:8" x14ac:dyDescent="0.3">
      <c r="A10" s="4" t="s">
        <v>22</v>
      </c>
      <c r="B10" s="4">
        <v>0.76</v>
      </c>
      <c r="C10" s="4" t="s">
        <v>0</v>
      </c>
      <c r="E10" t="s">
        <v>23</v>
      </c>
      <c r="F10">
        <v>2</v>
      </c>
      <c r="G10" t="s">
        <v>0</v>
      </c>
    </row>
    <row r="11" spans="1:8" x14ac:dyDescent="0.3">
      <c r="A11" s="4" t="s">
        <v>3</v>
      </c>
      <c r="B11" s="4">
        <v>61</v>
      </c>
      <c r="C11" s="4" t="s">
        <v>4</v>
      </c>
    </row>
    <row r="12" spans="1:8" x14ac:dyDescent="0.3">
      <c r="A12" s="4" t="s">
        <v>10</v>
      </c>
      <c r="B12" s="4">
        <v>-9.8000000000000007</v>
      </c>
      <c r="C12" s="4" t="s">
        <v>11</v>
      </c>
    </row>
    <row r="13" spans="1:8" x14ac:dyDescent="0.3">
      <c r="A13" s="4" t="s">
        <v>9</v>
      </c>
      <c r="B13" s="4">
        <v>4</v>
      </c>
      <c r="C13" s="4" t="s">
        <v>5</v>
      </c>
    </row>
    <row r="14" spans="1:8" x14ac:dyDescent="0.3">
      <c r="A14" s="4" t="s">
        <v>24</v>
      </c>
      <c r="B14" s="4">
        <f>($B$6 / 60) * (($B$13/12)*PI()/3.28)</f>
        <v>7.7156323639993225</v>
      </c>
      <c r="C14" s="4" t="s">
        <v>2</v>
      </c>
    </row>
    <row r="15" spans="1:8" x14ac:dyDescent="0.3">
      <c r="A15" s="4" t="s">
        <v>7</v>
      </c>
      <c r="B15" s="4">
        <f>$B$14*COS(RADIANS($B$11))</f>
        <v>3.74061279635086</v>
      </c>
      <c r="C15" s="4"/>
    </row>
    <row r="16" spans="1:8" x14ac:dyDescent="0.3">
      <c r="A16" s="4" t="s">
        <v>8</v>
      </c>
      <c r="B16" s="4">
        <f>$B$14*SIN(RADIANS($B$11))</f>
        <v>6.7482441185963307</v>
      </c>
      <c r="C16" s="4"/>
    </row>
    <row r="25" spans="1:4" x14ac:dyDescent="0.3">
      <c r="A25" s="2" t="s">
        <v>28</v>
      </c>
      <c r="B25" s="2"/>
      <c r="C25" s="2"/>
    </row>
    <row r="26" spans="1:4" x14ac:dyDescent="0.3">
      <c r="A26" s="2" t="s">
        <v>25</v>
      </c>
      <c r="B26" s="2" t="s">
        <v>31</v>
      </c>
      <c r="C26" s="2" t="s">
        <v>26</v>
      </c>
      <c r="D26" s="2" t="s">
        <v>27</v>
      </c>
    </row>
    <row r="27" spans="1:4" x14ac:dyDescent="0.3">
      <c r="A27">
        <f>0</f>
        <v>0</v>
      </c>
      <c r="B27">
        <f>SQRT((F3-B3)^2+(G3-C3)^2)</f>
        <v>4.8741358208404497</v>
      </c>
      <c r="C27">
        <f>A27*$B$15+($F$4-$H$4)</f>
        <v>0.36777447004470609</v>
      </c>
      <c r="D27">
        <f t="shared" ref="D27:D57" si="0">1/2*$B$12*$A27^2 + $B$16 * $A27 + $B$10</f>
        <v>0.76</v>
      </c>
    </row>
    <row r="28" spans="1:4" x14ac:dyDescent="0.3">
      <c r="A28">
        <f t="shared" ref="A28:A37" si="1">A27+0.05</f>
        <v>0.05</v>
      </c>
      <c r="C28">
        <f t="shared" ref="C28:C57" si="2">A28*$B$15+($F$4-$H$4)</f>
        <v>0.55480510986224907</v>
      </c>
      <c r="D28">
        <f t="shared" si="0"/>
        <v>1.0851622059298167</v>
      </c>
    </row>
    <row r="29" spans="1:4" x14ac:dyDescent="0.3">
      <c r="A29">
        <f t="shared" si="1"/>
        <v>0.1</v>
      </c>
      <c r="C29">
        <f t="shared" si="2"/>
        <v>0.74183574967979204</v>
      </c>
      <c r="D29">
        <f t="shared" si="0"/>
        <v>1.385824411859633</v>
      </c>
    </row>
    <row r="30" spans="1:4" x14ac:dyDescent="0.3">
      <c r="A30">
        <f t="shared" si="1"/>
        <v>0.15000000000000002</v>
      </c>
      <c r="C30">
        <f t="shared" si="2"/>
        <v>0.92886638949733513</v>
      </c>
      <c r="D30">
        <f t="shared" si="0"/>
        <v>1.6619866177894496</v>
      </c>
    </row>
    <row r="31" spans="1:4" x14ac:dyDescent="0.3">
      <c r="A31">
        <f t="shared" si="1"/>
        <v>0.2</v>
      </c>
      <c r="C31">
        <f t="shared" si="2"/>
        <v>1.115897029314878</v>
      </c>
      <c r="D31">
        <f t="shared" si="0"/>
        <v>1.9136488237192661</v>
      </c>
    </row>
    <row r="32" spans="1:4" x14ac:dyDescent="0.3">
      <c r="A32">
        <f t="shared" si="1"/>
        <v>0.25</v>
      </c>
      <c r="C32">
        <f t="shared" si="2"/>
        <v>1.302927669132421</v>
      </c>
      <c r="D32">
        <f t="shared" si="0"/>
        <v>2.1408110296490825</v>
      </c>
    </row>
    <row r="33" spans="1:8" x14ac:dyDescent="0.3">
      <c r="A33">
        <f t="shared" si="1"/>
        <v>0.3</v>
      </c>
      <c r="C33">
        <f t="shared" si="2"/>
        <v>1.4899583089499639</v>
      </c>
      <c r="D33">
        <f t="shared" si="0"/>
        <v>2.343473235578899</v>
      </c>
    </row>
    <row r="34" spans="1:8" x14ac:dyDescent="0.3">
      <c r="A34">
        <f t="shared" si="1"/>
        <v>0.35</v>
      </c>
      <c r="C34">
        <f t="shared" si="2"/>
        <v>1.6769889487675069</v>
      </c>
      <c r="D34">
        <f t="shared" si="0"/>
        <v>2.5216354415087157</v>
      </c>
    </row>
    <row r="35" spans="1:8" x14ac:dyDescent="0.3">
      <c r="A35">
        <f t="shared" si="1"/>
        <v>0.39999999999999997</v>
      </c>
      <c r="C35">
        <f t="shared" si="2"/>
        <v>1.8640195885850499</v>
      </c>
      <c r="D35">
        <f t="shared" si="0"/>
        <v>2.6752976474385326</v>
      </c>
    </row>
    <row r="36" spans="1:8" x14ac:dyDescent="0.3">
      <c r="A36">
        <f t="shared" si="1"/>
        <v>0.44999999999999996</v>
      </c>
      <c r="C36">
        <f t="shared" si="2"/>
        <v>2.0510502284025929</v>
      </c>
      <c r="D36">
        <f t="shared" si="0"/>
        <v>2.8044598533683489</v>
      </c>
    </row>
    <row r="37" spans="1:8" x14ac:dyDescent="0.3">
      <c r="A37">
        <f t="shared" si="1"/>
        <v>0.49999999999999994</v>
      </c>
      <c r="C37">
        <f t="shared" si="2"/>
        <v>2.2380808682201359</v>
      </c>
      <c r="D37">
        <f t="shared" si="0"/>
        <v>2.9091220592981646</v>
      </c>
      <c r="G37" s="1"/>
    </row>
    <row r="38" spans="1:8" x14ac:dyDescent="0.3">
      <c r="A38">
        <f t="shared" ref="A38:A52" si="3">A37+0.05</f>
        <v>0.54999999999999993</v>
      </c>
      <c r="C38">
        <f t="shared" si="2"/>
        <v>2.4251115080376788</v>
      </c>
      <c r="D38">
        <f t="shared" si="0"/>
        <v>2.9892842652279814</v>
      </c>
      <c r="F38" t="s">
        <v>14</v>
      </c>
      <c r="G38" s="1" t="s">
        <v>12</v>
      </c>
      <c r="H38" t="s">
        <v>13</v>
      </c>
    </row>
    <row r="39" spans="1:8" x14ac:dyDescent="0.3">
      <c r="A39">
        <f t="shared" si="3"/>
        <v>0.6</v>
      </c>
      <c r="C39">
        <f t="shared" si="2"/>
        <v>2.6121421478552218</v>
      </c>
      <c r="D39">
        <f t="shared" si="0"/>
        <v>3.0449464711577976</v>
      </c>
      <c r="F39" t="s">
        <v>29</v>
      </c>
      <c r="G39" s="1">
        <f>$F$3-0.5</f>
        <v>4.16</v>
      </c>
      <c r="H39">
        <v>2</v>
      </c>
    </row>
    <row r="40" spans="1:8" x14ac:dyDescent="0.3">
      <c r="A40">
        <f t="shared" si="3"/>
        <v>0.65</v>
      </c>
      <c r="C40">
        <f t="shared" si="2"/>
        <v>2.7991727876727652</v>
      </c>
      <c r="D40">
        <f t="shared" si="0"/>
        <v>3.0761086770876149</v>
      </c>
      <c r="F40" t="s">
        <v>30</v>
      </c>
      <c r="G40" s="1">
        <f>$F$3+0.5</f>
        <v>5.16</v>
      </c>
      <c r="H40">
        <v>2</v>
      </c>
    </row>
    <row r="41" spans="1:8" x14ac:dyDescent="0.3">
      <c r="A41">
        <f t="shared" si="3"/>
        <v>0.70000000000000007</v>
      </c>
      <c r="C41">
        <f t="shared" si="2"/>
        <v>2.9862034274903082</v>
      </c>
      <c r="D41">
        <f t="shared" si="0"/>
        <v>3.0827708830174307</v>
      </c>
    </row>
    <row r="42" spans="1:8" x14ac:dyDescent="0.3">
      <c r="A42">
        <f t="shared" si="3"/>
        <v>0.75000000000000011</v>
      </c>
      <c r="C42">
        <f t="shared" si="2"/>
        <v>3.1732340673078516</v>
      </c>
      <c r="D42">
        <f t="shared" si="0"/>
        <v>3.0649330889472468</v>
      </c>
    </row>
    <row r="43" spans="1:8" x14ac:dyDescent="0.3">
      <c r="A43">
        <f t="shared" si="3"/>
        <v>0.80000000000000016</v>
      </c>
      <c r="C43">
        <f t="shared" si="2"/>
        <v>3.3602647071253946</v>
      </c>
      <c r="D43">
        <f t="shared" si="0"/>
        <v>3.022595294877064</v>
      </c>
    </row>
    <row r="44" spans="1:8" x14ac:dyDescent="0.3">
      <c r="A44">
        <f t="shared" si="3"/>
        <v>0.8500000000000002</v>
      </c>
      <c r="C44">
        <f t="shared" si="2"/>
        <v>3.547295346942938</v>
      </c>
      <c r="D44">
        <f t="shared" si="0"/>
        <v>2.9557575008068797</v>
      </c>
    </row>
    <row r="45" spans="1:8" x14ac:dyDescent="0.3">
      <c r="A45">
        <f t="shared" si="3"/>
        <v>0.90000000000000024</v>
      </c>
      <c r="C45">
        <f t="shared" si="2"/>
        <v>3.734325986760481</v>
      </c>
      <c r="D45">
        <f t="shared" si="0"/>
        <v>2.8644197067366965</v>
      </c>
    </row>
    <row r="46" spans="1:8" x14ac:dyDescent="0.3">
      <c r="A46">
        <f t="shared" si="3"/>
        <v>0.95000000000000029</v>
      </c>
      <c r="C46">
        <f t="shared" si="2"/>
        <v>3.921356626578024</v>
      </c>
      <c r="D46">
        <f t="shared" si="0"/>
        <v>2.7485819126665127</v>
      </c>
    </row>
    <row r="47" spans="1:8" x14ac:dyDescent="0.3">
      <c r="A47">
        <f t="shared" si="3"/>
        <v>1.0000000000000002</v>
      </c>
      <c r="C47">
        <f t="shared" si="2"/>
        <v>4.1083872663955674</v>
      </c>
      <c r="D47">
        <f t="shared" si="0"/>
        <v>2.6082441185963301</v>
      </c>
    </row>
    <row r="48" spans="1:8" x14ac:dyDescent="0.3">
      <c r="A48">
        <f t="shared" si="3"/>
        <v>1.0500000000000003</v>
      </c>
      <c r="C48">
        <f t="shared" si="2"/>
        <v>4.2954179062131104</v>
      </c>
      <c r="D48">
        <f t="shared" si="0"/>
        <v>2.4434063245261459</v>
      </c>
    </row>
    <row r="49" spans="1:4" x14ac:dyDescent="0.3">
      <c r="A49">
        <f t="shared" si="3"/>
        <v>1.1000000000000003</v>
      </c>
      <c r="C49">
        <f t="shared" si="2"/>
        <v>4.4824485460306533</v>
      </c>
      <c r="D49">
        <f t="shared" si="0"/>
        <v>2.254068530455962</v>
      </c>
    </row>
    <row r="50" spans="1:4" x14ac:dyDescent="0.3">
      <c r="A50">
        <f t="shared" si="3"/>
        <v>1.1500000000000004</v>
      </c>
      <c r="C50">
        <f t="shared" si="2"/>
        <v>4.6694791858481963</v>
      </c>
      <c r="D50">
        <f t="shared" si="0"/>
        <v>2.0402307363857775</v>
      </c>
    </row>
    <row r="51" spans="1:4" x14ac:dyDescent="0.3">
      <c r="A51">
        <f t="shared" si="3"/>
        <v>1.2000000000000004</v>
      </c>
      <c r="C51">
        <f t="shared" si="2"/>
        <v>4.8565098256657393</v>
      </c>
      <c r="D51">
        <f t="shared" si="0"/>
        <v>1.8018929423155943</v>
      </c>
    </row>
    <row r="52" spans="1:4" x14ac:dyDescent="0.3">
      <c r="A52">
        <f t="shared" si="3"/>
        <v>1.2500000000000004</v>
      </c>
      <c r="C52">
        <f t="shared" si="2"/>
        <v>5.0435404654832823</v>
      </c>
      <c r="D52">
        <f t="shared" si="0"/>
        <v>1.5390551482454093</v>
      </c>
    </row>
    <row r="53" spans="1:4" x14ac:dyDescent="0.3">
      <c r="A53">
        <f t="shared" ref="A53:A57" si="4">A52+0.05</f>
        <v>1.3000000000000005</v>
      </c>
      <c r="C53">
        <f t="shared" si="2"/>
        <v>5.2305711053008261</v>
      </c>
      <c r="D53">
        <f t="shared" si="0"/>
        <v>1.2517173541752256</v>
      </c>
    </row>
    <row r="54" spans="1:4" x14ac:dyDescent="0.3">
      <c r="A54">
        <f t="shared" si="4"/>
        <v>1.3500000000000005</v>
      </c>
      <c r="C54">
        <f t="shared" si="2"/>
        <v>5.4176017451183691</v>
      </c>
      <c r="D54">
        <f t="shared" si="0"/>
        <v>0.93987956010504115</v>
      </c>
    </row>
    <row r="55" spans="1:4" x14ac:dyDescent="0.3">
      <c r="A55">
        <f t="shared" si="4"/>
        <v>1.4000000000000006</v>
      </c>
      <c r="C55">
        <f t="shared" si="2"/>
        <v>5.6046323849359121</v>
      </c>
      <c r="D55">
        <f t="shared" si="0"/>
        <v>0.60354176603485876</v>
      </c>
    </row>
    <row r="56" spans="1:4" x14ac:dyDescent="0.3">
      <c r="A56">
        <f t="shared" si="4"/>
        <v>1.4500000000000006</v>
      </c>
      <c r="C56">
        <f t="shared" si="2"/>
        <v>5.7916630247534551</v>
      </c>
      <c r="D56">
        <f t="shared" si="0"/>
        <v>0.24270397196467486</v>
      </c>
    </row>
    <row r="57" spans="1:4" x14ac:dyDescent="0.3">
      <c r="A57">
        <f t="shared" si="4"/>
        <v>1.5000000000000007</v>
      </c>
      <c r="C57">
        <f t="shared" si="2"/>
        <v>5.9786936645709989</v>
      </c>
      <c r="D57">
        <f t="shared" si="0"/>
        <v>-0.14263382210550879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5472-5284-4B81-A362-A36BE7E81441}">
  <dimension ref="A1:E55"/>
  <sheetViews>
    <sheetView tabSelected="1" workbookViewId="0">
      <selection activeCell="X11" sqref="X11"/>
    </sheetView>
  </sheetViews>
  <sheetFormatPr defaultRowHeight="14.4" x14ac:dyDescent="0.3"/>
  <sheetData>
    <row r="1" spans="1:5" x14ac:dyDescent="0.3">
      <c r="A1" t="s">
        <v>35</v>
      </c>
      <c r="B1">
        <v>1.0032000000000001</v>
      </c>
      <c r="D1">
        <f>D26-C26</f>
        <v>31.472528166442999</v>
      </c>
      <c r="E1">
        <f>D55-C55</f>
        <v>43.799826843976007</v>
      </c>
    </row>
    <row r="2" spans="1:5" x14ac:dyDescent="0.3">
      <c r="A2" t="s">
        <v>36</v>
      </c>
    </row>
    <row r="4" spans="1:5" x14ac:dyDescent="0.3">
      <c r="A4" t="s">
        <v>32</v>
      </c>
      <c r="B4" t="s">
        <v>33</v>
      </c>
      <c r="C4" t="s">
        <v>34</v>
      </c>
      <c r="D4" t="s">
        <v>35</v>
      </c>
    </row>
    <row r="5" spans="1:5" x14ac:dyDescent="0.3">
      <c r="A5">
        <f>0</f>
        <v>0</v>
      </c>
      <c r="C5">
        <f>156.82212 * $A5 + 1019.64733</f>
        <v>1019.64733</v>
      </c>
      <c r="D5">
        <f>(156.82212 * $A5 + 1019.64733)</f>
        <v>1019.64733</v>
      </c>
    </row>
    <row r="6" spans="1:5" x14ac:dyDescent="0.3">
      <c r="A6">
        <f>A5+0.1</f>
        <v>0.1</v>
      </c>
      <c r="C6">
        <f t="shared" ref="C6:C55" si="0">156.82212 * $A6 + 1019.64733</f>
        <v>1035.3295419999999</v>
      </c>
      <c r="D6">
        <f t="shared" ref="D6:D25" si="1">(156.82212 * $A6 + 1019.64733)</f>
        <v>1035.3295419999999</v>
      </c>
    </row>
    <row r="7" spans="1:5" x14ac:dyDescent="0.3">
      <c r="A7">
        <f t="shared" ref="A7:A55" si="2">A6+0.1</f>
        <v>0.2</v>
      </c>
      <c r="C7">
        <f t="shared" si="0"/>
        <v>1051.0117540000001</v>
      </c>
      <c r="D7">
        <f t="shared" si="1"/>
        <v>1051.0117540000001</v>
      </c>
    </row>
    <row r="8" spans="1:5" x14ac:dyDescent="0.3">
      <c r="A8">
        <f t="shared" si="2"/>
        <v>0.30000000000000004</v>
      </c>
      <c r="C8">
        <f t="shared" si="0"/>
        <v>1066.693966</v>
      </c>
      <c r="D8">
        <f t="shared" si="1"/>
        <v>1066.693966</v>
      </c>
    </row>
    <row r="9" spans="1:5" x14ac:dyDescent="0.3">
      <c r="A9">
        <f t="shared" si="2"/>
        <v>0.4</v>
      </c>
      <c r="C9">
        <f t="shared" si="0"/>
        <v>1082.376178</v>
      </c>
      <c r="D9">
        <f t="shared" si="1"/>
        <v>1082.376178</v>
      </c>
    </row>
    <row r="10" spans="1:5" x14ac:dyDescent="0.3">
      <c r="A10">
        <f t="shared" si="2"/>
        <v>0.5</v>
      </c>
      <c r="C10">
        <f t="shared" si="0"/>
        <v>1098.0583899999999</v>
      </c>
      <c r="D10">
        <f t="shared" si="1"/>
        <v>1098.0583899999999</v>
      </c>
    </row>
    <row r="11" spans="1:5" x14ac:dyDescent="0.3">
      <c r="A11">
        <f t="shared" si="2"/>
        <v>0.6</v>
      </c>
      <c r="C11">
        <f t="shared" si="0"/>
        <v>1113.7406020000001</v>
      </c>
      <c r="D11">
        <f t="shared" si="1"/>
        <v>1113.7406020000001</v>
      </c>
    </row>
    <row r="12" spans="1:5" x14ac:dyDescent="0.3">
      <c r="A12">
        <f t="shared" si="2"/>
        <v>0.7</v>
      </c>
      <c r="C12">
        <f t="shared" si="0"/>
        <v>1129.422814</v>
      </c>
      <c r="D12">
        <f t="shared" si="1"/>
        <v>1129.422814</v>
      </c>
    </row>
    <row r="13" spans="1:5" x14ac:dyDescent="0.3">
      <c r="A13">
        <f t="shared" si="2"/>
        <v>0.79999999999999993</v>
      </c>
      <c r="C13">
        <f t="shared" si="0"/>
        <v>1145.105026</v>
      </c>
      <c r="D13">
        <f t="shared" si="1"/>
        <v>1145.105026</v>
      </c>
    </row>
    <row r="14" spans="1:5" x14ac:dyDescent="0.3">
      <c r="A14">
        <f t="shared" si="2"/>
        <v>0.89999999999999991</v>
      </c>
      <c r="C14">
        <f t="shared" si="0"/>
        <v>1160.7872379999999</v>
      </c>
      <c r="D14">
        <f t="shared" si="1"/>
        <v>1160.7872379999999</v>
      </c>
    </row>
    <row r="15" spans="1:5" x14ac:dyDescent="0.3">
      <c r="A15">
        <f t="shared" si="2"/>
        <v>0.99999999999999989</v>
      </c>
      <c r="C15">
        <f t="shared" si="0"/>
        <v>1176.4694500000001</v>
      </c>
      <c r="D15">
        <f t="shared" si="1"/>
        <v>1176.4694500000001</v>
      </c>
    </row>
    <row r="16" spans="1:5" x14ac:dyDescent="0.3">
      <c r="A16">
        <f t="shared" si="2"/>
        <v>1.0999999999999999</v>
      </c>
      <c r="C16">
        <f t="shared" si="0"/>
        <v>1192.151662</v>
      </c>
      <c r="D16">
        <f t="shared" si="1"/>
        <v>1192.151662</v>
      </c>
    </row>
    <row r="17" spans="1:4" x14ac:dyDescent="0.3">
      <c r="A17">
        <f t="shared" si="2"/>
        <v>1.2</v>
      </c>
      <c r="C17">
        <f t="shared" si="0"/>
        <v>1207.8338739999999</v>
      </c>
      <c r="D17">
        <f t="shared" si="1"/>
        <v>1207.8338739999999</v>
      </c>
    </row>
    <row r="18" spans="1:4" x14ac:dyDescent="0.3">
      <c r="A18">
        <f t="shared" si="2"/>
        <v>1.3</v>
      </c>
      <c r="C18">
        <f t="shared" si="0"/>
        <v>1223.5160860000001</v>
      </c>
      <c r="D18">
        <f t="shared" si="1"/>
        <v>1223.5160860000001</v>
      </c>
    </row>
    <row r="19" spans="1:4" x14ac:dyDescent="0.3">
      <c r="A19">
        <f t="shared" si="2"/>
        <v>1.4000000000000001</v>
      </c>
      <c r="C19">
        <f t="shared" si="0"/>
        <v>1239.198298</v>
      </c>
      <c r="D19">
        <f t="shared" si="1"/>
        <v>1239.198298</v>
      </c>
    </row>
    <row r="20" spans="1:4" x14ac:dyDescent="0.3">
      <c r="A20">
        <f t="shared" si="2"/>
        <v>1.5000000000000002</v>
      </c>
      <c r="C20">
        <f t="shared" si="0"/>
        <v>1254.88051</v>
      </c>
      <c r="D20">
        <f t="shared" si="1"/>
        <v>1254.88051</v>
      </c>
    </row>
    <row r="21" spans="1:4" x14ac:dyDescent="0.3">
      <c r="A21">
        <f t="shared" si="2"/>
        <v>1.6000000000000003</v>
      </c>
      <c r="B21">
        <v>1250</v>
      </c>
      <c r="C21">
        <f t="shared" si="0"/>
        <v>1270.5627220000001</v>
      </c>
      <c r="D21">
        <f t="shared" si="1"/>
        <v>1270.5627220000001</v>
      </c>
    </row>
    <row r="22" spans="1:4" x14ac:dyDescent="0.3">
      <c r="A22">
        <f t="shared" si="2"/>
        <v>1.7000000000000004</v>
      </c>
      <c r="C22">
        <f t="shared" si="0"/>
        <v>1286.2449340000001</v>
      </c>
      <c r="D22">
        <f t="shared" si="1"/>
        <v>1286.2449340000001</v>
      </c>
    </row>
    <row r="23" spans="1:4" x14ac:dyDescent="0.3">
      <c r="A23">
        <f t="shared" si="2"/>
        <v>1.8000000000000005</v>
      </c>
      <c r="B23">
        <v>1275</v>
      </c>
      <c r="C23">
        <f t="shared" si="0"/>
        <v>1301.927146</v>
      </c>
      <c r="D23">
        <f t="shared" si="1"/>
        <v>1301.927146</v>
      </c>
    </row>
    <row r="24" spans="1:4" x14ac:dyDescent="0.3">
      <c r="A24">
        <f t="shared" si="2"/>
        <v>1.9000000000000006</v>
      </c>
      <c r="C24">
        <f t="shared" si="0"/>
        <v>1317.6093580000002</v>
      </c>
      <c r="D24">
        <f t="shared" si="1"/>
        <v>1317.6093580000002</v>
      </c>
    </row>
    <row r="25" spans="1:4" x14ac:dyDescent="0.3">
      <c r="A25">
        <f t="shared" si="2"/>
        <v>2.0000000000000004</v>
      </c>
      <c r="C25">
        <f t="shared" si="0"/>
        <v>1333.2915700000001</v>
      </c>
      <c r="D25">
        <f t="shared" si="1"/>
        <v>1333.2915700000001</v>
      </c>
    </row>
    <row r="26" spans="1:4" x14ac:dyDescent="0.3">
      <c r="A26">
        <f t="shared" si="2"/>
        <v>2.1000000000000005</v>
      </c>
      <c r="C26">
        <f t="shared" si="0"/>
        <v>1348.973782</v>
      </c>
      <c r="D26">
        <f t="shared" ref="D26:D55" si="3">(156.82212 * $A26 + 1019.64733)^$B$1</f>
        <v>1380.446310166443</v>
      </c>
    </row>
    <row r="27" spans="1:4" x14ac:dyDescent="0.3">
      <c r="A27">
        <f t="shared" si="2"/>
        <v>2.2000000000000006</v>
      </c>
      <c r="C27">
        <f t="shared" si="0"/>
        <v>1364.6559940000002</v>
      </c>
      <c r="D27">
        <f t="shared" si="3"/>
        <v>1396.5460516397613</v>
      </c>
    </row>
    <row r="28" spans="1:4" x14ac:dyDescent="0.3">
      <c r="A28">
        <f t="shared" si="2"/>
        <v>2.3000000000000007</v>
      </c>
      <c r="C28">
        <f t="shared" si="0"/>
        <v>1380.3382060000001</v>
      </c>
      <c r="D28">
        <f t="shared" si="3"/>
        <v>1412.6463851796566</v>
      </c>
    </row>
    <row r="29" spans="1:4" x14ac:dyDescent="0.3">
      <c r="A29">
        <f t="shared" si="2"/>
        <v>2.4000000000000008</v>
      </c>
      <c r="C29">
        <f t="shared" si="0"/>
        <v>1396.0204180000001</v>
      </c>
      <c r="D29">
        <f t="shared" si="3"/>
        <v>1428.7473040806865</v>
      </c>
    </row>
    <row r="30" spans="1:4" x14ac:dyDescent="0.3">
      <c r="A30">
        <f t="shared" si="2"/>
        <v>2.5000000000000009</v>
      </c>
      <c r="B30">
        <v>1425</v>
      </c>
      <c r="C30">
        <f t="shared" si="0"/>
        <v>1411.7026300000002</v>
      </c>
      <c r="D30">
        <f t="shared" si="3"/>
        <v>1444.8488017878419</v>
      </c>
    </row>
    <row r="31" spans="1:4" x14ac:dyDescent="0.3">
      <c r="A31">
        <f t="shared" si="2"/>
        <v>2.600000000000001</v>
      </c>
      <c r="C31">
        <f t="shared" si="0"/>
        <v>1427.3848420000002</v>
      </c>
      <c r="D31">
        <f t="shared" si="3"/>
        <v>1460.9508718915208</v>
      </c>
    </row>
    <row r="32" spans="1:4" x14ac:dyDescent="0.3">
      <c r="A32">
        <f t="shared" si="2"/>
        <v>2.7000000000000011</v>
      </c>
      <c r="C32">
        <f t="shared" si="0"/>
        <v>1443.0670540000001</v>
      </c>
      <c r="D32">
        <f t="shared" si="3"/>
        <v>1477.0535081227472</v>
      </c>
    </row>
    <row r="33" spans="1:4" x14ac:dyDescent="0.3">
      <c r="A33">
        <f t="shared" si="2"/>
        <v>2.8000000000000012</v>
      </c>
      <c r="C33">
        <f t="shared" si="0"/>
        <v>1458.7492660000003</v>
      </c>
      <c r="D33">
        <f t="shared" si="3"/>
        <v>1493.1567043485961</v>
      </c>
    </row>
    <row r="34" spans="1:4" x14ac:dyDescent="0.3">
      <c r="A34">
        <f t="shared" si="2"/>
        <v>2.9000000000000012</v>
      </c>
      <c r="C34">
        <f t="shared" si="0"/>
        <v>1474.4314780000002</v>
      </c>
      <c r="D34">
        <f t="shared" si="3"/>
        <v>1509.2604545678021</v>
      </c>
    </row>
    <row r="35" spans="1:4" x14ac:dyDescent="0.3">
      <c r="A35">
        <f t="shared" si="2"/>
        <v>3.0000000000000013</v>
      </c>
      <c r="B35">
        <v>1500</v>
      </c>
      <c r="C35">
        <f t="shared" si="0"/>
        <v>1490.1136900000001</v>
      </c>
      <c r="D35">
        <f t="shared" si="3"/>
        <v>1525.364752906562</v>
      </c>
    </row>
    <row r="36" spans="1:4" x14ac:dyDescent="0.3">
      <c r="A36">
        <f t="shared" si="2"/>
        <v>3.1000000000000014</v>
      </c>
      <c r="C36">
        <f t="shared" si="0"/>
        <v>1505.7959020000003</v>
      </c>
      <c r="D36">
        <f t="shared" si="3"/>
        <v>1541.4695936145229</v>
      </c>
    </row>
    <row r="37" spans="1:4" x14ac:dyDescent="0.3">
      <c r="A37">
        <f t="shared" si="2"/>
        <v>3.2000000000000015</v>
      </c>
      <c r="C37">
        <f t="shared" si="0"/>
        <v>1521.4781140000002</v>
      </c>
      <c r="D37">
        <f t="shared" si="3"/>
        <v>1557.5749710609196</v>
      </c>
    </row>
    <row r="38" spans="1:4" x14ac:dyDescent="0.3">
      <c r="A38">
        <f t="shared" si="2"/>
        <v>3.3000000000000016</v>
      </c>
      <c r="C38">
        <f t="shared" si="0"/>
        <v>1537.1603260000002</v>
      </c>
      <c r="D38">
        <f t="shared" si="3"/>
        <v>1573.6808797308872</v>
      </c>
    </row>
    <row r="39" spans="1:4" x14ac:dyDescent="0.3">
      <c r="A39">
        <f t="shared" si="2"/>
        <v>3.4000000000000017</v>
      </c>
      <c r="C39">
        <f t="shared" si="0"/>
        <v>1552.8425380000003</v>
      </c>
      <c r="D39">
        <f t="shared" si="3"/>
        <v>1589.7873142219144</v>
      </c>
    </row>
    <row r="40" spans="1:4" x14ac:dyDescent="0.3">
      <c r="A40">
        <f t="shared" si="2"/>
        <v>3.5000000000000018</v>
      </c>
      <c r="C40">
        <f t="shared" si="0"/>
        <v>1568.5247500000005</v>
      </c>
      <c r="D40">
        <f t="shared" si="3"/>
        <v>1605.8942692404426</v>
      </c>
    </row>
    <row r="41" spans="1:4" x14ac:dyDescent="0.3">
      <c r="A41">
        <f t="shared" si="2"/>
        <v>3.6000000000000019</v>
      </c>
      <c r="C41">
        <f t="shared" si="0"/>
        <v>1584.2069620000002</v>
      </c>
      <c r="D41">
        <f t="shared" si="3"/>
        <v>1622.0017395985969</v>
      </c>
    </row>
    <row r="42" spans="1:4" x14ac:dyDescent="0.3">
      <c r="A42">
        <f t="shared" si="2"/>
        <v>3.700000000000002</v>
      </c>
      <c r="C42">
        <f t="shared" si="0"/>
        <v>1599.8891740000004</v>
      </c>
      <c r="D42">
        <f t="shared" si="3"/>
        <v>1638.1097202110634</v>
      </c>
    </row>
    <row r="43" spans="1:4" x14ac:dyDescent="0.3">
      <c r="A43">
        <f t="shared" si="2"/>
        <v>3.800000000000002</v>
      </c>
      <c r="C43">
        <f t="shared" si="0"/>
        <v>1615.5713860000005</v>
      </c>
      <c r="D43">
        <f t="shared" si="3"/>
        <v>1654.2182060920634</v>
      </c>
    </row>
    <row r="44" spans="1:4" x14ac:dyDescent="0.3">
      <c r="A44">
        <f t="shared" si="2"/>
        <v>3.9000000000000021</v>
      </c>
      <c r="C44">
        <f t="shared" si="0"/>
        <v>1631.2535980000002</v>
      </c>
      <c r="D44">
        <f t="shared" si="3"/>
        <v>1670.3271923524626</v>
      </c>
    </row>
    <row r="45" spans="1:4" x14ac:dyDescent="0.3">
      <c r="A45">
        <f t="shared" si="2"/>
        <v>4.0000000000000018</v>
      </c>
      <c r="B45">
        <v>1625</v>
      </c>
      <c r="C45">
        <f t="shared" si="0"/>
        <v>1646.9358100000004</v>
      </c>
      <c r="D45">
        <f t="shared" si="3"/>
        <v>1686.4366741969898</v>
      </c>
    </row>
    <row r="46" spans="1:4" x14ac:dyDescent="0.3">
      <c r="A46">
        <f t="shared" si="2"/>
        <v>4.1000000000000014</v>
      </c>
      <c r="C46">
        <f t="shared" si="0"/>
        <v>1662.6180220000003</v>
      </c>
      <c r="D46">
        <f t="shared" si="3"/>
        <v>1702.5466469215471</v>
      </c>
    </row>
    <row r="47" spans="1:4" x14ac:dyDescent="0.3">
      <c r="A47">
        <f t="shared" si="2"/>
        <v>4.2000000000000011</v>
      </c>
      <c r="C47">
        <f t="shared" si="0"/>
        <v>1678.3002340000003</v>
      </c>
      <c r="D47">
        <f t="shared" si="3"/>
        <v>1718.6571059106495</v>
      </c>
    </row>
    <row r="48" spans="1:4" x14ac:dyDescent="0.3">
      <c r="A48">
        <f t="shared" si="2"/>
        <v>4.3000000000000007</v>
      </c>
      <c r="C48">
        <f t="shared" si="0"/>
        <v>1693.9824460000002</v>
      </c>
      <c r="D48">
        <f t="shared" si="3"/>
        <v>1734.7680466349295</v>
      </c>
    </row>
    <row r="49" spans="1:4" x14ac:dyDescent="0.3">
      <c r="A49">
        <f t="shared" si="2"/>
        <v>4.4000000000000004</v>
      </c>
      <c r="C49">
        <f t="shared" si="0"/>
        <v>1709.6646580000001</v>
      </c>
      <c r="D49">
        <f t="shared" si="3"/>
        <v>1750.8794646487522</v>
      </c>
    </row>
    <row r="50" spans="1:4" x14ac:dyDescent="0.3">
      <c r="A50">
        <f t="shared" si="2"/>
        <v>4.5</v>
      </c>
      <c r="C50">
        <f t="shared" si="0"/>
        <v>1725.3468700000001</v>
      </c>
      <c r="D50">
        <f t="shared" si="3"/>
        <v>1766.9913555879145</v>
      </c>
    </row>
    <row r="51" spans="1:4" x14ac:dyDescent="0.3">
      <c r="A51">
        <f t="shared" si="2"/>
        <v>4.5999999999999996</v>
      </c>
      <c r="C51">
        <f t="shared" si="0"/>
        <v>1741.029082</v>
      </c>
      <c r="D51">
        <f t="shared" si="3"/>
        <v>1783.1037151674273</v>
      </c>
    </row>
    <row r="52" spans="1:4" x14ac:dyDescent="0.3">
      <c r="A52">
        <f t="shared" si="2"/>
        <v>4.6999999999999993</v>
      </c>
      <c r="C52">
        <f t="shared" si="0"/>
        <v>1756.711294</v>
      </c>
      <c r="D52">
        <f t="shared" si="3"/>
        <v>1799.2165391793737</v>
      </c>
    </row>
    <row r="53" spans="1:4" x14ac:dyDescent="0.3">
      <c r="A53">
        <f t="shared" si="2"/>
        <v>4.7999999999999989</v>
      </c>
      <c r="C53">
        <f t="shared" si="0"/>
        <v>1772.3935059999999</v>
      </c>
      <c r="D53">
        <f t="shared" si="3"/>
        <v>1815.3298234908514</v>
      </c>
    </row>
    <row r="54" spans="1:4" x14ac:dyDescent="0.3">
      <c r="A54">
        <f t="shared" si="2"/>
        <v>4.8999999999999986</v>
      </c>
      <c r="C54">
        <f t="shared" si="0"/>
        <v>1788.0757179999998</v>
      </c>
      <c r="D54">
        <f t="shared" si="3"/>
        <v>1831.4435640419756</v>
      </c>
    </row>
    <row r="55" spans="1:4" x14ac:dyDescent="0.3">
      <c r="A55">
        <f t="shared" si="2"/>
        <v>4.9999999999999982</v>
      </c>
      <c r="B55">
        <v>1800</v>
      </c>
      <c r="C55">
        <f t="shared" si="0"/>
        <v>1803.7579299999998</v>
      </c>
      <c r="D55">
        <f t="shared" si="3"/>
        <v>1847.5577568439758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Curve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Thompson</dc:creator>
  <cp:lastModifiedBy>Joe Thompson</cp:lastModifiedBy>
  <dcterms:created xsi:type="dcterms:W3CDTF">2015-06-05T18:17:20Z</dcterms:created>
  <dcterms:modified xsi:type="dcterms:W3CDTF">2026-04-07T22:06:21Z</dcterms:modified>
</cp:coreProperties>
</file>